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capgemini-my.sharepoint.com/personal/nagendra_singh-sisodiya_capgemini_com/Documents/Desktop/"/>
    </mc:Choice>
  </mc:AlternateContent>
  <xr:revisionPtr revIDLastSave="0" documentId="8_{0E5CDC8A-C6B6-4888-BBC7-35F433ADDE31}" xr6:coauthVersionLast="47" xr6:coauthVersionMax="47" xr10:uidLastSave="{00000000-0000-0000-0000-000000000000}"/>
  <bookViews>
    <workbookView xWindow="-108" yWindow="-108" windowWidth="23256" windowHeight="12456" xr2:uid="{00000000-000D-0000-FFFF-FFFF00000000}"/>
  </bookViews>
  <sheets>
    <sheet name="Analysis Summary" sheetId="1" r:id="rId1"/>
    <sheet name="Detailed Analysis" sheetId="2" r:id="rId2"/>
    <sheet name="Classification Guide" sheetId="3" r:id="rId3"/>
  </sheets>
  <definedNames>
    <definedName name="_xlnm._FilterDatabase" localSheetId="1" hidden="1">'Detailed Analysis'!$A$1:$S$22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C10" i="1" s="1"/>
  <c r="C12" i="1"/>
  <c r="C11" i="1"/>
  <c r="C6" i="1"/>
  <c r="C7" i="1" l="1"/>
  <c r="C13" i="1" s="1"/>
  <c r="C8" i="1"/>
  <c r="C9" i="1"/>
</calcChain>
</file>

<file path=xl/sharedStrings.xml><?xml version="1.0" encoding="utf-8"?>
<sst xmlns="http://schemas.openxmlformats.org/spreadsheetml/2006/main" count="474" uniqueCount="186">
  <si>
    <t>Swag Labs Bug Analysis Report</t>
  </si>
  <si>
    <t>Analysis Basis</t>
  </si>
  <si>
    <t>21 bug records from the Testing Environment report. Classification is based only on the information and evidence recorded in that report.</t>
  </si>
  <si>
    <t>Failure Category</t>
  </si>
  <si>
    <t>Bug Count</t>
  </si>
  <si>
    <t>Percentage</t>
  </si>
  <si>
    <t>Interpretation</t>
  </si>
  <si>
    <t>Required Handling</t>
  </si>
  <si>
    <t>Application Defect</t>
  </si>
  <si>
    <t>Failure is attributable to application behavior based on available documented evidence.</t>
  </si>
  <si>
    <t>Confirm reproduction, attach evidence, and route to development.</t>
  </si>
  <si>
    <t>Test Data Issue</t>
  </si>
  <si>
    <t>Failure is caused by missing, invalid, expired, duplicated, or unsuitable test data.</t>
  </si>
  <si>
    <t>Correct or regenerate test data and rerun.</t>
  </si>
  <si>
    <t>Environment/Infrastructure Issue</t>
  </si>
  <si>
    <t>Failure is caused by the test environment, server, service availability, database, or infrastructure.</t>
  </si>
  <si>
    <t>Check service health, deployment, database, and environment logs.</t>
  </si>
  <si>
    <t>Network/API Issue</t>
  </si>
  <si>
    <t>Failure is caused by connectivity, timeout, endpoint, response, or API communication.</t>
  </si>
  <si>
    <t>Inspect requests, responses, status codes, latency, and connectivity.</t>
  </si>
  <si>
    <t>Configuration Issue</t>
  </si>
  <si>
    <t>Failure is caused by incorrect application, browser, account, feature flag, or environment configuration.</t>
  </si>
  <si>
    <t>Compare configuration with the approved test baseline.</t>
  </si>
  <si>
    <t>Requirement/Test Case Issue</t>
  </si>
  <si>
    <t>Failure is caused by ambiguous, incorrect, outdated, or missing expected behavior.</t>
  </si>
  <si>
    <t>Clarify the requirement and update acceptance criteria or the test case.</t>
  </si>
  <si>
    <t>Unknown/Insufficient Evidence</t>
  </si>
  <si>
    <t>The observed symptom does not contain enough evidence to determine its root cause.</t>
  </si>
  <si>
    <t>Collect evidence and rerun before assigning a root cause.</t>
  </si>
  <si>
    <t>Total</t>
  </si>
  <si>
    <t>Conclusion</t>
  </si>
  <si>
    <t>9 records are classified as Application Defects based on available documented evidence. 12 records remain Unknown/Insufficient Evidence and must not be treated as confirmed application defects until supporting evidence is collected. No current record supports classification as a Test Data, Environment/Infrastructure, Network/API, Configuration, or Requirement/Test Case Issue.</t>
  </si>
  <si>
    <t>Bug ID</t>
  </si>
  <si>
    <t>User Type</t>
  </si>
  <si>
    <t>Bug Title</t>
  </si>
  <si>
    <t>Module</t>
  </si>
  <si>
    <t>Feature</t>
  </si>
  <si>
    <t>Environment</t>
  </si>
  <si>
    <t>Severity</t>
  </si>
  <si>
    <t>Priority</t>
  </si>
  <si>
    <t>Original Defect Type</t>
  </si>
  <si>
    <t>Analysis Classification</t>
  </si>
  <si>
    <t>Classification Rationale</t>
  </si>
  <si>
    <t>Evidence Sufficiency</t>
  </si>
  <si>
    <t>Analysis Confidence</t>
  </si>
  <si>
    <t>Expected Result</t>
  </si>
  <si>
    <t>Actual Result</t>
  </si>
  <si>
    <t>Evidence</t>
  </si>
  <si>
    <t>Recommended Next Action</t>
  </si>
  <si>
    <t>Status</t>
  </si>
  <si>
    <t>Source URL</t>
  </si>
  <si>
    <t>BUG-001</t>
  </si>
  <si>
    <t>problem_user</t>
  </si>
  <si>
    <t>Incorrect images displayed for all products</t>
  </si>
  <si>
    <t>Inventory</t>
  </si>
  <si>
    <t>Product images</t>
  </si>
  <si>
    <t>Testing Environment</t>
  </si>
  <si>
    <t>Medium</t>
  </si>
  <si>
    <t>Not Available</t>
  </si>
  <si>
    <t>Behavior is documented as a user-specific product failure and is reproducible through the application UI. No evidence indicates an automation, data, environment, network, configuration, or requirement issue.</t>
  </si>
  <si>
    <t>Sufficient for initial classification</t>
  </si>
  <si>
    <t>High</t>
  </si>
  <si>
    <t>Each product displays its correct and unique image.</t>
  </si>
  <si>
    <t>All products display incorrect images.</t>
  </si>
  <si>
    <t>Reproduce manually in the Testing Environment, capture screenshot/video and console logs where applicable, then assign to the application development team.</t>
  </si>
  <si>
    <t>New</t>
  </si>
  <si>
    <t>https://deepwiki.com/zeketests/saucedemo-playwright-claude/5.5-defect-regression-tests-%28problem_user-and-error_user%29</t>
  </si>
  <si>
    <t>BUG-002</t>
  </si>
  <si>
    <t>Add to Cart button malfunctions</t>
  </si>
  <si>
    <t>Add to cart</t>
  </si>
  <si>
    <t>The report contains an observed symptom, but supporting evidence such as screenshots, logs, timestamps, request traces, exact product data, browser details, or independent reproduction is unavailable. The root cause cannot be assigned responsibly.</t>
  </si>
  <si>
    <t>Insufficient</t>
  </si>
  <si>
    <t>Low</t>
  </si>
  <si>
    <t>The selected product is added and the cart badge updates.</t>
  </si>
  <si>
    <t>The Add to Cart action does not function correctly.</t>
  </si>
  <si>
    <t>Reproduce manually, record exact test data and browser, capture evidence and logs, and then reclassify using the defined failure categories.</t>
  </si>
  <si>
    <t>User-provided observation</t>
  </si>
  <si>
    <t>BUG-003</t>
  </si>
  <si>
    <t>Remove from Cart action does not work</t>
  </si>
  <si>
    <t>Cart</t>
  </si>
  <si>
    <t>Remove item</t>
  </si>
  <si>
    <t>The selected product is removed and the cart badge updates.</t>
  </si>
  <si>
    <t>The selected product remains in the cart.</t>
  </si>
  <si>
    <t>BUG-004</t>
  </si>
  <si>
    <t>Incorrect name shown for a product</t>
  </si>
  <si>
    <t>Product information</t>
  </si>
  <si>
    <t>Every product displays the correct product name.</t>
  </si>
  <si>
    <t>One product displays an incorrect name.</t>
  </si>
  <si>
    <t>BUG-005</t>
  </si>
  <si>
    <t>Incorrect product is displayed</t>
  </si>
  <si>
    <t>Product listing</t>
  </si>
  <si>
    <t>The product listing displays the intended products with matching details.</t>
  </si>
  <si>
    <t>An incorrect product is displayed.</t>
  </si>
  <si>
    <t>BUG-006</t>
  </si>
  <si>
    <t>Name Z to A sorting does not change product order</t>
  </si>
  <si>
    <t>Product sorting</t>
  </si>
  <si>
    <t>Products are ordered alphabetically from Z to A.</t>
  </si>
  <si>
    <t>The product list remains in A to Z order.</t>
  </si>
  <si>
    <t>BUG-007</t>
  </si>
  <si>
    <t>performance_glitch_user</t>
  </si>
  <si>
    <t>Login response is excessively slow</t>
  </si>
  <si>
    <t>Login</t>
  </si>
  <si>
    <t>Authentication performance</t>
  </si>
  <si>
    <t>Login completes within the agreed response-time threshold.</t>
  </si>
  <si>
    <t>Login takes excessively long to complete.</t>
  </si>
  <si>
    <t>BUG-008</t>
  </si>
  <si>
    <t>Products page loading is delayed by approximately five seconds</t>
  </si>
  <si>
    <t>Page-load performance</t>
  </si>
  <si>
    <t>Products page loads within the agreed response-time threshold.</t>
  </si>
  <si>
    <t>The user persona introduces an approximately five-second inventory-page delay.</t>
  </si>
  <si>
    <t>https://deepwiki.com/zeketests/saucedemo-playwright-claude/4.1-user-credentials-and-error-messages</t>
  </si>
  <si>
    <t>BUG-009</t>
  </si>
  <si>
    <t>Add to Cart action intermittently responds slowly</t>
  </si>
  <si>
    <t>Add to cart performance</t>
  </si>
  <si>
    <t>Each Add to Cart action completes within the agreed threshold.</t>
  </si>
  <si>
    <t>The Add to Cart action sometimes takes too long.</t>
  </si>
  <si>
    <t>BUG-010</t>
  </si>
  <si>
    <t>Overall application response time is slow</t>
  </si>
  <si>
    <t>Application</t>
  </si>
  <si>
    <t>General performance</t>
  </si>
  <si>
    <t>Common actions complete within agreed performance thresholds.</t>
  </si>
  <si>
    <t>Multiple application actions respond slowly.</t>
  </si>
  <si>
    <t>BUG-011</t>
  </si>
  <si>
    <t>error_user</t>
  </si>
  <si>
    <t>Last product displays an incorrect name</t>
  </si>
  <si>
    <t>The final product displays its correct name.</t>
  </si>
  <si>
    <t>The final product name is incorrect.</t>
  </si>
  <si>
    <t>BUG-012</t>
  </si>
  <si>
    <t>Add to Cart fails for Sauce Labs Bolt T-Shirt</t>
  </si>
  <si>
    <t>The product is added and the cart badge updates.</t>
  </si>
  <si>
    <t>The product cannot be added to the cart.</t>
  </si>
  <si>
    <t>BUG-013</t>
  </si>
  <si>
    <t>Add to Cart fails for Sauce Labs Fleece Jacket</t>
  </si>
  <si>
    <t>BUG-014</t>
  </si>
  <si>
    <t>Add to Cart fails for Test.allTheThings() T-Shirt (Red)</t>
  </si>
  <si>
    <t>BUG-015</t>
  </si>
  <si>
    <t>Remove action fails on the Products page</t>
  </si>
  <si>
    <t>The product is removed and the cart badge updates.</t>
  </si>
  <si>
    <t>The Remove action does not remove the item.</t>
  </si>
  <si>
    <t>BUG-016</t>
  </si>
  <si>
    <t>Selecting a sort option displays a broken-sorting alert</t>
  </si>
  <si>
    <t>Products are sorted using the selected option without an error.</t>
  </si>
  <si>
    <t>A browser alert appears and sorting does not complete.</t>
  </si>
  <si>
    <t>BUG-017</t>
  </si>
  <si>
    <t>Checkout cannot be completed after selecting Finish</t>
  </si>
  <si>
    <t>Checkout</t>
  </si>
  <si>
    <t>Order completion</t>
  </si>
  <si>
    <t>Critical</t>
  </si>
  <si>
    <t>Order completes and the Checkout Complete page is displayed.</t>
  </si>
  <si>
    <t>Finish fails to navigate because of a JavaScript TypeError.</t>
  </si>
  <si>
    <t>BUG-018</t>
  </si>
  <si>
    <t>Last product Add to Cart button does not work</t>
  </si>
  <si>
    <t>The final product is added and the cart badge updates.</t>
  </si>
  <si>
    <t>The final product is not added to the cart.</t>
  </si>
  <si>
    <t>BUG-019</t>
  </si>
  <si>
    <t>visual_user</t>
  </si>
  <si>
    <t>Incorrect images displayed for some products</t>
  </si>
  <si>
    <t>Each product displays its corresponding image.</t>
  </si>
  <si>
    <t>Some products display incorrect images.</t>
  </si>
  <si>
    <t>BUG-020</t>
  </si>
  <si>
    <t>Cart button is displaced from its expected position</t>
  </si>
  <si>
    <t>Header/Cart</t>
  </si>
  <si>
    <t>Cart control layout</t>
  </si>
  <si>
    <t>The cart control is aligned consistently in the header.</t>
  </si>
  <si>
    <t>The cart control is displaced.</t>
  </si>
  <si>
    <t>BUG-021</t>
  </si>
  <si>
    <t>Product names are not aligned consistently</t>
  </si>
  <si>
    <t>Product-name layout</t>
  </si>
  <si>
    <t>Product names follow consistent alignment and spacing.</t>
  </si>
  <si>
    <t>Product names are not aligned correctly.</t>
  </si>
  <si>
    <t>Classification Criteria</t>
  </si>
  <si>
    <t>Evidence Examples</t>
  </si>
  <si>
    <t>Confirmed deviation in the product from an agreed expected result, reproducible independently.</t>
  </si>
  <si>
    <t>Manual reproduction, screenshots/video, console or server logs, consistent behavior across reruns.</t>
  </si>
  <si>
    <t>Execution fails because required data is absent, invalid, expired, duplicated, or unsuitable.</t>
  </si>
  <si>
    <t>Input records, database query, account state, expired credentials, unavailable inventory.</t>
  </si>
  <si>
    <t>Failure originates from environment availability, deployment, server, database, service, or infrastructure.</t>
  </si>
  <si>
    <t>Health checks, deployment logs, outage records, resource utilization, database connectivity.</t>
  </si>
  <si>
    <t>Failure originates from connectivity or service communication.</t>
  </si>
  <si>
    <t>HAR file, request/response, HTTP status, timeout, DNS or proxy logs.</t>
  </si>
  <si>
    <t>Failure results from incorrect settings or mismatch against approved configuration.</t>
  </si>
  <si>
    <t>Feature flags, environment variables, browser settings, account permissions, deployment configuration.</t>
  </si>
  <si>
    <t>Expected behavior or test procedure is ambiguous, incorrect, outdated, or incomplete.</t>
  </si>
  <si>
    <t>Requirement review, acceptance criteria mismatch, obsolete test steps, stakeholder clarification.</t>
  </si>
  <si>
    <t>Available information describes a symptom but cannot establish the root cause.</t>
  </si>
  <si>
    <t>No evidence, incomplete steps, missing browser details, or inconsistent reproduction.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</si>
</sst>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b/>
      <sz val="16"/>
      <color rgb="FFFFFFFF"/>
      <name val="Calibri"/>
      <family val="2"/>
      <scheme val="minor"/>
    </font>
    <font>
      <b/>
      <sz val="11"/>
      <color rgb="FFFFFFFF"/>
      <name val="Calibri"/>
      <family val="2"/>
      <scheme val="minor"/>
    </font>
    <font>
      <u/>
      <sz val="11"/>
      <color rgb="FF008000"/>
      <name val="Calibri"/>
      <family val="2"/>
      <scheme val="minor"/>
    </font>
  </fonts>
  <fills count="6">
    <fill>
      <patternFill patternType="none"/>
    </fill>
    <fill>
      <patternFill patternType="gray125"/>
    </fill>
    <fill>
      <patternFill patternType="solid">
        <fgColor rgb="FF17365D"/>
        <bgColor indexed="64"/>
      </patternFill>
    </fill>
    <fill>
      <patternFill patternType="solid">
        <fgColor rgb="FF1F4E78"/>
        <bgColor indexed="64"/>
      </patternFill>
    </fill>
    <fill>
      <patternFill patternType="solid">
        <fgColor rgb="FFE2F0D9"/>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9">
    <xf numFmtId="0" fontId="0" fillId="0" borderId="0" xfId="0"/>
    <xf numFmtId="0" fontId="2" fillId="3" borderId="0" xfId="0" applyFont="1" applyFill="1" applyAlignment="1">
      <alignment horizontal="center" vertical="center" wrapText="1"/>
    </xf>
    <xf numFmtId="0" fontId="0" fillId="0" borderId="0" xfId="0" applyAlignment="1">
      <alignment vertical="top" wrapText="1"/>
    </xf>
    <xf numFmtId="164" fontId="0" fillId="0" borderId="0" xfId="0" applyNumberFormat="1" applyAlignment="1">
      <alignment horizontal="center" vertical="top"/>
    </xf>
    <xf numFmtId="0" fontId="0" fillId="4" borderId="0" xfId="0" applyFill="1" applyAlignment="1">
      <alignment vertical="top" wrapText="1"/>
    </xf>
    <xf numFmtId="0" fontId="3" fillId="0" borderId="0" xfId="0" applyFont="1" applyAlignment="1">
      <alignment vertical="top" wrapText="1"/>
    </xf>
    <xf numFmtId="0" fontId="0" fillId="5" borderId="0" xfId="0" applyFill="1" applyAlignment="1">
      <alignment vertical="top" wrapText="1"/>
    </xf>
    <xf numFmtId="0" fontId="1" fillId="2" borderId="0" xfId="0" applyFont="1" applyFill="1" applyAlignment="1">
      <alignment horizontal="left"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epwiki.com/zeketests/saucedemo-playwright-claude/5.5-defect-regression-tests-%28problem_user-and-error_user%29" TargetMode="External"/><Relationship Id="rId3" Type="http://schemas.openxmlformats.org/officeDocument/2006/relationships/hyperlink" Target="https://deepwiki.com/zeketests/saucedemo-playwright-claude/4.1-user-credentials-and-error-messages" TargetMode="External"/><Relationship Id="rId7" Type="http://schemas.openxmlformats.org/officeDocument/2006/relationships/hyperlink" Target="https://deepwiki.com/zeketests/saucedemo-playwright-claude/5.5-defect-regression-tests-%28problem_user-and-error_user%29" TargetMode="External"/><Relationship Id="rId2" Type="http://schemas.openxmlformats.org/officeDocument/2006/relationships/hyperlink" Target="https://deepwiki.com/zeketests/saucedemo-playwright-claude/5.5-defect-regression-tests-%28problem_user-and-error_user%29" TargetMode="External"/><Relationship Id="rId1" Type="http://schemas.openxmlformats.org/officeDocument/2006/relationships/hyperlink" Target="https://deepwiki.com/zeketests/saucedemo-playwright-claude/5.5-defect-regression-tests-%28problem_user-and-error_user%29" TargetMode="External"/><Relationship Id="rId6" Type="http://schemas.openxmlformats.org/officeDocument/2006/relationships/hyperlink" Target="https://deepwiki.com/zeketests/saucedemo-playwright-claude/5.5-defect-regression-tests-%28problem_user-and-error_user%29" TargetMode="External"/><Relationship Id="rId5" Type="http://schemas.openxmlformats.org/officeDocument/2006/relationships/hyperlink" Target="https://deepwiki.com/zeketests/saucedemo-playwright-claude/5.5-defect-regression-tests-%28problem_user-and-error_user%29" TargetMode="External"/><Relationship Id="rId4" Type="http://schemas.openxmlformats.org/officeDocument/2006/relationships/hyperlink" Target="https://deepwiki.com/zeketests/saucedemo-playwright-claude/5.5-defect-regression-tests-%28problem_user-and-error_user%29" TargetMode="External"/><Relationship Id="rId9" Type="http://schemas.openxmlformats.org/officeDocument/2006/relationships/hyperlink" Target="https://deepwiki.com/zeketests/saucedemo-playwright-claude/5.5-defect-regression-tests-%28problem_user-and-error_user%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
  <sheetViews>
    <sheetView showGridLines="0" tabSelected="1" workbookViewId="0">
      <pane ySplit="5" topLeftCell="A6" activePane="bottomLeft" state="frozen"/>
      <selection pane="bottomLeft" sqref="A1:E1"/>
    </sheetView>
  </sheetViews>
  <sheetFormatPr defaultRowHeight="14.4" x14ac:dyDescent="0.3"/>
  <cols>
    <col min="1" max="1" width="36.6640625" customWidth="1"/>
    <col min="2" max="3" width="13.6640625" customWidth="1"/>
    <col min="4" max="5" width="48.6640625" customWidth="1"/>
  </cols>
  <sheetData>
    <row r="1" spans="1:5" ht="26.1" customHeight="1" x14ac:dyDescent="0.3">
      <c r="A1" s="7" t="s">
        <v>0</v>
      </c>
      <c r="B1" s="7"/>
      <c r="C1" s="7"/>
      <c r="D1" s="7"/>
      <c r="E1" s="7"/>
    </row>
    <row r="3" spans="1:5" x14ac:dyDescent="0.3">
      <c r="A3" s="1" t="s">
        <v>1</v>
      </c>
      <c r="B3" s="8" t="s">
        <v>2</v>
      </c>
      <c r="C3" s="8"/>
      <c r="D3" s="8"/>
      <c r="E3" s="8"/>
    </row>
    <row r="5" spans="1:5" x14ac:dyDescent="0.3">
      <c r="A5" s="1" t="s">
        <v>3</v>
      </c>
      <c r="B5" s="1" t="s">
        <v>4</v>
      </c>
      <c r="C5" s="1" t="s">
        <v>5</v>
      </c>
      <c r="D5" s="1" t="s">
        <v>6</v>
      </c>
      <c r="E5" s="1" t="s">
        <v>7</v>
      </c>
    </row>
    <row r="6" spans="1:5" ht="28.8" x14ac:dyDescent="0.3">
      <c r="A6" s="2" t="s">
        <v>8</v>
      </c>
      <c r="B6" s="2">
        <v>9</v>
      </c>
      <c r="C6" s="3">
        <f t="shared" ref="C6:C12" si="0">B6/$B$13</f>
        <v>0.42857142857142855</v>
      </c>
      <c r="D6" s="2" t="s">
        <v>9</v>
      </c>
      <c r="E6" s="2" t="s">
        <v>10</v>
      </c>
    </row>
    <row r="7" spans="1:5" ht="28.8" x14ac:dyDescent="0.3">
      <c r="A7" s="2" t="s">
        <v>11</v>
      </c>
      <c r="B7" s="2">
        <v>0</v>
      </c>
      <c r="C7" s="3">
        <f t="shared" si="0"/>
        <v>0</v>
      </c>
      <c r="D7" s="2" t="s">
        <v>12</v>
      </c>
      <c r="E7" s="2" t="s">
        <v>13</v>
      </c>
    </row>
    <row r="8" spans="1:5" ht="28.8" x14ac:dyDescent="0.3">
      <c r="A8" s="2" t="s">
        <v>14</v>
      </c>
      <c r="B8" s="2">
        <v>0</v>
      </c>
      <c r="C8" s="3">
        <f t="shared" si="0"/>
        <v>0</v>
      </c>
      <c r="D8" s="2" t="s">
        <v>15</v>
      </c>
      <c r="E8" s="2" t="s">
        <v>16</v>
      </c>
    </row>
    <row r="9" spans="1:5" ht="28.8" x14ac:dyDescent="0.3">
      <c r="A9" s="2" t="s">
        <v>17</v>
      </c>
      <c r="B9" s="2">
        <v>0</v>
      </c>
      <c r="C9" s="3">
        <f t="shared" si="0"/>
        <v>0</v>
      </c>
      <c r="D9" s="2" t="s">
        <v>18</v>
      </c>
      <c r="E9" s="2" t="s">
        <v>19</v>
      </c>
    </row>
    <row r="10" spans="1:5" ht="28.8" x14ac:dyDescent="0.3">
      <c r="A10" s="2" t="s">
        <v>20</v>
      </c>
      <c r="B10" s="2">
        <v>0</v>
      </c>
      <c r="C10" s="3">
        <f t="shared" si="0"/>
        <v>0</v>
      </c>
      <c r="D10" s="2" t="s">
        <v>21</v>
      </c>
      <c r="E10" s="2" t="s">
        <v>22</v>
      </c>
    </row>
    <row r="11" spans="1:5" ht="28.8" x14ac:dyDescent="0.3">
      <c r="A11" s="2" t="s">
        <v>23</v>
      </c>
      <c r="B11" s="2">
        <v>0</v>
      </c>
      <c r="C11" s="3">
        <f t="shared" si="0"/>
        <v>0</v>
      </c>
      <c r="D11" s="2" t="s">
        <v>24</v>
      </c>
      <c r="E11" s="2" t="s">
        <v>25</v>
      </c>
    </row>
    <row r="12" spans="1:5" ht="28.8" x14ac:dyDescent="0.3">
      <c r="A12" s="2" t="s">
        <v>26</v>
      </c>
      <c r="B12" s="2">
        <v>12</v>
      </c>
      <c r="C12" s="3">
        <f t="shared" si="0"/>
        <v>0.5714285714285714</v>
      </c>
      <c r="D12" s="2" t="s">
        <v>27</v>
      </c>
      <c r="E12" s="2" t="s">
        <v>28</v>
      </c>
    </row>
    <row r="13" spans="1:5" x14ac:dyDescent="0.3">
      <c r="A13" s="1" t="s">
        <v>29</v>
      </c>
      <c r="B13" s="1">
        <f>SUM(B6:B12)</f>
        <v>21</v>
      </c>
      <c r="C13" s="3">
        <f>SUM(C6:C12)</f>
        <v>1</v>
      </c>
    </row>
    <row r="15" spans="1:5" x14ac:dyDescent="0.3">
      <c r="A15" s="1" t="s">
        <v>30</v>
      </c>
      <c r="B15" s="8" t="s">
        <v>31</v>
      </c>
      <c r="C15" s="8"/>
      <c r="D15" s="8"/>
      <c r="E15" s="8"/>
    </row>
    <row r="16" spans="1:5" x14ac:dyDescent="0.3">
      <c r="B16" s="8"/>
      <c r="C16" s="8"/>
      <c r="D16" s="8"/>
      <c r="E16" s="8"/>
    </row>
  </sheetData>
  <mergeCells count="3">
    <mergeCell ref="A1:E1"/>
    <mergeCell ref="B3:E3"/>
    <mergeCell ref="B15:E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2"/>
  <sheetViews>
    <sheetView showGridLines="0" workbookViewId="0">
      <pane ySplit="1" topLeftCell="A2" activePane="bottomLeft" state="frozen"/>
      <selection pane="bottomLeft"/>
    </sheetView>
  </sheetViews>
  <sheetFormatPr defaultRowHeight="14.4" x14ac:dyDescent="0.3"/>
  <cols>
    <col min="1" max="1" width="12.6640625" customWidth="1"/>
    <col min="2" max="2" width="24.6640625" customWidth="1"/>
    <col min="3" max="3" width="38.6640625" customWidth="1"/>
    <col min="4" max="4" width="18.6640625" customWidth="1"/>
    <col min="5" max="5" width="24.6640625" customWidth="1"/>
    <col min="6" max="6" width="20.6640625" customWidth="1"/>
    <col min="7" max="8" width="12.6640625" customWidth="1"/>
    <col min="9" max="9" width="24.6640625" customWidth="1"/>
    <col min="10" max="10" width="30.6640625" customWidth="1"/>
    <col min="11" max="11" width="58.6640625" customWidth="1"/>
    <col min="12" max="12" width="22.6640625" customWidth="1"/>
    <col min="13" max="13" width="18.6640625" customWidth="1"/>
    <col min="14" max="15" width="40.6640625" customWidth="1"/>
    <col min="16" max="16" width="24.6640625" customWidth="1"/>
    <col min="17" max="17" width="58.6640625" customWidth="1"/>
    <col min="18" max="18" width="12.6640625" customWidth="1"/>
    <col min="19" max="19" width="42.6640625" customWidth="1"/>
  </cols>
  <sheetData>
    <row r="1" spans="1:19" ht="32.1" customHeight="1" x14ac:dyDescent="0.3">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row>
    <row r="2" spans="1:19" ht="78" customHeight="1" x14ac:dyDescent="0.3">
      <c r="A2" s="2" t="s">
        <v>51</v>
      </c>
      <c r="B2" s="2" t="s">
        <v>52</v>
      </c>
      <c r="C2" s="2" t="s">
        <v>53</v>
      </c>
      <c r="D2" s="2" t="s">
        <v>54</v>
      </c>
      <c r="E2" s="2" t="s">
        <v>55</v>
      </c>
      <c r="F2" s="2" t="s">
        <v>56</v>
      </c>
      <c r="G2" s="2" t="s">
        <v>57</v>
      </c>
      <c r="H2" s="2" t="s">
        <v>57</v>
      </c>
      <c r="I2" s="2" t="s">
        <v>58</v>
      </c>
      <c r="J2" s="4" t="s">
        <v>8</v>
      </c>
      <c r="K2" s="2" t="s">
        <v>59</v>
      </c>
      <c r="L2" s="2" t="s">
        <v>60</v>
      </c>
      <c r="M2" s="2" t="s">
        <v>61</v>
      </c>
      <c r="N2" s="2" t="s">
        <v>62</v>
      </c>
      <c r="O2" s="2" t="s">
        <v>63</v>
      </c>
      <c r="P2" s="2" t="s">
        <v>58</v>
      </c>
      <c r="Q2" s="2" t="s">
        <v>64</v>
      </c>
      <c r="R2" s="2" t="s">
        <v>65</v>
      </c>
      <c r="S2" s="5" t="s">
        <v>66</v>
      </c>
    </row>
    <row r="3" spans="1:19" ht="78" customHeight="1" x14ac:dyDescent="0.3">
      <c r="A3" s="2" t="s">
        <v>67</v>
      </c>
      <c r="B3" s="2" t="s">
        <v>52</v>
      </c>
      <c r="C3" s="2" t="s">
        <v>68</v>
      </c>
      <c r="D3" s="2" t="s">
        <v>54</v>
      </c>
      <c r="E3" s="2" t="s">
        <v>69</v>
      </c>
      <c r="F3" s="2" t="s">
        <v>56</v>
      </c>
      <c r="G3" s="2" t="s">
        <v>61</v>
      </c>
      <c r="H3" s="2" t="s">
        <v>61</v>
      </c>
      <c r="I3" s="2" t="s">
        <v>58</v>
      </c>
      <c r="J3" s="6" t="s">
        <v>26</v>
      </c>
      <c r="K3" s="2" t="s">
        <v>70</v>
      </c>
      <c r="L3" s="2" t="s">
        <v>71</v>
      </c>
      <c r="M3" s="2" t="s">
        <v>72</v>
      </c>
      <c r="N3" s="2" t="s">
        <v>73</v>
      </c>
      <c r="O3" s="2" t="s">
        <v>74</v>
      </c>
      <c r="P3" s="2" t="s">
        <v>58</v>
      </c>
      <c r="Q3" s="2" t="s">
        <v>75</v>
      </c>
      <c r="R3" s="2" t="s">
        <v>65</v>
      </c>
      <c r="S3" s="2" t="s">
        <v>76</v>
      </c>
    </row>
    <row r="4" spans="1:19" ht="78" customHeight="1" x14ac:dyDescent="0.3">
      <c r="A4" s="2" t="s">
        <v>77</v>
      </c>
      <c r="B4" s="2" t="s">
        <v>52</v>
      </c>
      <c r="C4" s="2" t="s">
        <v>78</v>
      </c>
      <c r="D4" s="2" t="s">
        <v>79</v>
      </c>
      <c r="E4" s="2" t="s">
        <v>80</v>
      </c>
      <c r="F4" s="2" t="s">
        <v>56</v>
      </c>
      <c r="G4" s="2" t="s">
        <v>61</v>
      </c>
      <c r="H4" s="2" t="s">
        <v>61</v>
      </c>
      <c r="I4" s="2" t="s">
        <v>58</v>
      </c>
      <c r="J4" s="6" t="s">
        <v>26</v>
      </c>
      <c r="K4" s="2" t="s">
        <v>70</v>
      </c>
      <c r="L4" s="2" t="s">
        <v>71</v>
      </c>
      <c r="M4" s="2" t="s">
        <v>72</v>
      </c>
      <c r="N4" s="2" t="s">
        <v>81</v>
      </c>
      <c r="O4" s="2" t="s">
        <v>82</v>
      </c>
      <c r="P4" s="2" t="s">
        <v>58</v>
      </c>
      <c r="Q4" s="2" t="s">
        <v>75</v>
      </c>
      <c r="R4" s="2" t="s">
        <v>65</v>
      </c>
      <c r="S4" s="2" t="s">
        <v>76</v>
      </c>
    </row>
    <row r="5" spans="1:19" ht="78" customHeight="1" x14ac:dyDescent="0.3">
      <c r="A5" s="2" t="s">
        <v>83</v>
      </c>
      <c r="B5" s="2" t="s">
        <v>52</v>
      </c>
      <c r="C5" s="2" t="s">
        <v>84</v>
      </c>
      <c r="D5" s="2" t="s">
        <v>54</v>
      </c>
      <c r="E5" s="2" t="s">
        <v>85</v>
      </c>
      <c r="F5" s="2" t="s">
        <v>56</v>
      </c>
      <c r="G5" s="2" t="s">
        <v>57</v>
      </c>
      <c r="H5" s="2" t="s">
        <v>57</v>
      </c>
      <c r="I5" s="2" t="s">
        <v>58</v>
      </c>
      <c r="J5" s="6" t="s">
        <v>26</v>
      </c>
      <c r="K5" s="2" t="s">
        <v>70</v>
      </c>
      <c r="L5" s="2" t="s">
        <v>71</v>
      </c>
      <c r="M5" s="2" t="s">
        <v>72</v>
      </c>
      <c r="N5" s="2" t="s">
        <v>86</v>
      </c>
      <c r="O5" s="2" t="s">
        <v>87</v>
      </c>
      <c r="P5" s="2" t="s">
        <v>58</v>
      </c>
      <c r="Q5" s="2" t="s">
        <v>75</v>
      </c>
      <c r="R5" s="2" t="s">
        <v>65</v>
      </c>
      <c r="S5" s="2" t="s">
        <v>76</v>
      </c>
    </row>
    <row r="6" spans="1:19" ht="78" customHeight="1" x14ac:dyDescent="0.3">
      <c r="A6" s="2" t="s">
        <v>88</v>
      </c>
      <c r="B6" s="2" t="s">
        <v>52</v>
      </c>
      <c r="C6" s="2" t="s">
        <v>89</v>
      </c>
      <c r="D6" s="2" t="s">
        <v>54</v>
      </c>
      <c r="E6" s="2" t="s">
        <v>90</v>
      </c>
      <c r="F6" s="2" t="s">
        <v>56</v>
      </c>
      <c r="G6" s="2" t="s">
        <v>61</v>
      </c>
      <c r="H6" s="2" t="s">
        <v>57</v>
      </c>
      <c r="I6" s="2" t="s">
        <v>58</v>
      </c>
      <c r="J6" s="6" t="s">
        <v>26</v>
      </c>
      <c r="K6" s="2" t="s">
        <v>70</v>
      </c>
      <c r="L6" s="2" t="s">
        <v>71</v>
      </c>
      <c r="M6" s="2" t="s">
        <v>72</v>
      </c>
      <c r="N6" s="2" t="s">
        <v>91</v>
      </c>
      <c r="O6" s="2" t="s">
        <v>92</v>
      </c>
      <c r="P6" s="2" t="s">
        <v>58</v>
      </c>
      <c r="Q6" s="2" t="s">
        <v>75</v>
      </c>
      <c r="R6" s="2" t="s">
        <v>65</v>
      </c>
      <c r="S6" s="2" t="s">
        <v>76</v>
      </c>
    </row>
    <row r="7" spans="1:19" ht="78" customHeight="1" x14ac:dyDescent="0.3">
      <c r="A7" s="2" t="s">
        <v>93</v>
      </c>
      <c r="B7" s="2" t="s">
        <v>52</v>
      </c>
      <c r="C7" s="2" t="s">
        <v>94</v>
      </c>
      <c r="D7" s="2" t="s">
        <v>54</v>
      </c>
      <c r="E7" s="2" t="s">
        <v>95</v>
      </c>
      <c r="F7" s="2" t="s">
        <v>56</v>
      </c>
      <c r="G7" s="2" t="s">
        <v>57</v>
      </c>
      <c r="H7" s="2" t="s">
        <v>61</v>
      </c>
      <c r="I7" s="2" t="s">
        <v>58</v>
      </c>
      <c r="J7" s="4" t="s">
        <v>8</v>
      </c>
      <c r="K7" s="2" t="s">
        <v>59</v>
      </c>
      <c r="L7" s="2" t="s">
        <v>60</v>
      </c>
      <c r="M7" s="2" t="s">
        <v>61</v>
      </c>
      <c r="N7" s="2" t="s">
        <v>96</v>
      </c>
      <c r="O7" s="2" t="s">
        <v>97</v>
      </c>
      <c r="P7" s="2" t="s">
        <v>58</v>
      </c>
      <c r="Q7" s="2" t="s">
        <v>64</v>
      </c>
      <c r="R7" s="2" t="s">
        <v>65</v>
      </c>
      <c r="S7" s="5" t="s">
        <v>66</v>
      </c>
    </row>
    <row r="8" spans="1:19" ht="78" customHeight="1" x14ac:dyDescent="0.3">
      <c r="A8" s="2" t="s">
        <v>98</v>
      </c>
      <c r="B8" s="2" t="s">
        <v>99</v>
      </c>
      <c r="C8" s="2" t="s">
        <v>100</v>
      </c>
      <c r="D8" s="2" t="s">
        <v>101</v>
      </c>
      <c r="E8" s="2" t="s">
        <v>102</v>
      </c>
      <c r="F8" s="2" t="s">
        <v>56</v>
      </c>
      <c r="G8" s="2" t="s">
        <v>57</v>
      </c>
      <c r="H8" s="2" t="s">
        <v>57</v>
      </c>
      <c r="I8" s="2" t="s">
        <v>58</v>
      </c>
      <c r="J8" s="6" t="s">
        <v>26</v>
      </c>
      <c r="K8" s="2" t="s">
        <v>70</v>
      </c>
      <c r="L8" s="2" t="s">
        <v>71</v>
      </c>
      <c r="M8" s="2" t="s">
        <v>72</v>
      </c>
      <c r="N8" s="2" t="s">
        <v>103</v>
      </c>
      <c r="O8" s="2" t="s">
        <v>104</v>
      </c>
      <c r="P8" s="2" t="s">
        <v>58</v>
      </c>
      <c r="Q8" s="2" t="s">
        <v>75</v>
      </c>
      <c r="R8" s="2" t="s">
        <v>65</v>
      </c>
      <c r="S8" s="2" t="s">
        <v>76</v>
      </c>
    </row>
    <row r="9" spans="1:19" ht="78" customHeight="1" x14ac:dyDescent="0.3">
      <c r="A9" s="2" t="s">
        <v>105</v>
      </c>
      <c r="B9" s="2" t="s">
        <v>99</v>
      </c>
      <c r="C9" s="2" t="s">
        <v>106</v>
      </c>
      <c r="D9" s="2" t="s">
        <v>54</v>
      </c>
      <c r="E9" s="2" t="s">
        <v>107</v>
      </c>
      <c r="F9" s="2" t="s">
        <v>56</v>
      </c>
      <c r="G9" s="2" t="s">
        <v>57</v>
      </c>
      <c r="H9" s="2" t="s">
        <v>57</v>
      </c>
      <c r="I9" s="2" t="s">
        <v>58</v>
      </c>
      <c r="J9" s="4" t="s">
        <v>8</v>
      </c>
      <c r="K9" s="2" t="s">
        <v>59</v>
      </c>
      <c r="L9" s="2" t="s">
        <v>60</v>
      </c>
      <c r="M9" s="2" t="s">
        <v>61</v>
      </c>
      <c r="N9" s="2" t="s">
        <v>108</v>
      </c>
      <c r="O9" s="2" t="s">
        <v>109</v>
      </c>
      <c r="P9" s="2" t="s">
        <v>58</v>
      </c>
      <c r="Q9" s="2" t="s">
        <v>64</v>
      </c>
      <c r="R9" s="2" t="s">
        <v>65</v>
      </c>
      <c r="S9" s="5" t="s">
        <v>110</v>
      </c>
    </row>
    <row r="10" spans="1:19" ht="78" customHeight="1" x14ac:dyDescent="0.3">
      <c r="A10" s="2" t="s">
        <v>111</v>
      </c>
      <c r="B10" s="2" t="s">
        <v>99</v>
      </c>
      <c r="C10" s="2" t="s">
        <v>112</v>
      </c>
      <c r="D10" s="2" t="s">
        <v>54</v>
      </c>
      <c r="E10" s="2" t="s">
        <v>113</v>
      </c>
      <c r="F10" s="2" t="s">
        <v>56</v>
      </c>
      <c r="G10" s="2" t="s">
        <v>57</v>
      </c>
      <c r="H10" s="2" t="s">
        <v>57</v>
      </c>
      <c r="I10" s="2" t="s">
        <v>58</v>
      </c>
      <c r="J10" s="6" t="s">
        <v>26</v>
      </c>
      <c r="K10" s="2" t="s">
        <v>70</v>
      </c>
      <c r="L10" s="2" t="s">
        <v>71</v>
      </c>
      <c r="M10" s="2" t="s">
        <v>72</v>
      </c>
      <c r="N10" s="2" t="s">
        <v>114</v>
      </c>
      <c r="O10" s="2" t="s">
        <v>115</v>
      </c>
      <c r="P10" s="2" t="s">
        <v>58</v>
      </c>
      <c r="Q10" s="2" t="s">
        <v>75</v>
      </c>
      <c r="R10" s="2" t="s">
        <v>65</v>
      </c>
      <c r="S10" s="2" t="s">
        <v>76</v>
      </c>
    </row>
    <row r="11" spans="1:19" ht="78" customHeight="1" x14ac:dyDescent="0.3">
      <c r="A11" s="2" t="s">
        <v>116</v>
      </c>
      <c r="B11" s="2" t="s">
        <v>99</v>
      </c>
      <c r="C11" s="2" t="s">
        <v>117</v>
      </c>
      <c r="D11" s="2" t="s">
        <v>118</v>
      </c>
      <c r="E11" s="2" t="s">
        <v>119</v>
      </c>
      <c r="F11" s="2" t="s">
        <v>56</v>
      </c>
      <c r="G11" s="2" t="s">
        <v>57</v>
      </c>
      <c r="H11" s="2" t="s">
        <v>57</v>
      </c>
      <c r="I11" s="2" t="s">
        <v>58</v>
      </c>
      <c r="J11" s="6" t="s">
        <v>26</v>
      </c>
      <c r="K11" s="2" t="s">
        <v>70</v>
      </c>
      <c r="L11" s="2" t="s">
        <v>71</v>
      </c>
      <c r="M11" s="2" t="s">
        <v>72</v>
      </c>
      <c r="N11" s="2" t="s">
        <v>120</v>
      </c>
      <c r="O11" s="2" t="s">
        <v>121</v>
      </c>
      <c r="P11" s="2" t="s">
        <v>58</v>
      </c>
      <c r="Q11" s="2" t="s">
        <v>75</v>
      </c>
      <c r="R11" s="2" t="s">
        <v>65</v>
      </c>
      <c r="S11" s="2" t="s">
        <v>76</v>
      </c>
    </row>
    <row r="12" spans="1:19" ht="78" customHeight="1" x14ac:dyDescent="0.3">
      <c r="A12" s="2" t="s">
        <v>122</v>
      </c>
      <c r="B12" s="2" t="s">
        <v>123</v>
      </c>
      <c r="C12" s="2" t="s">
        <v>124</v>
      </c>
      <c r="D12" s="2" t="s">
        <v>54</v>
      </c>
      <c r="E12" s="2" t="s">
        <v>85</v>
      </c>
      <c r="F12" s="2" t="s">
        <v>56</v>
      </c>
      <c r="G12" s="2" t="s">
        <v>57</v>
      </c>
      <c r="H12" s="2" t="s">
        <v>57</v>
      </c>
      <c r="I12" s="2" t="s">
        <v>58</v>
      </c>
      <c r="J12" s="6" t="s">
        <v>26</v>
      </c>
      <c r="K12" s="2" t="s">
        <v>70</v>
      </c>
      <c r="L12" s="2" t="s">
        <v>71</v>
      </c>
      <c r="M12" s="2" t="s">
        <v>72</v>
      </c>
      <c r="N12" s="2" t="s">
        <v>125</v>
      </c>
      <c r="O12" s="2" t="s">
        <v>126</v>
      </c>
      <c r="P12" s="2" t="s">
        <v>58</v>
      </c>
      <c r="Q12" s="2" t="s">
        <v>75</v>
      </c>
      <c r="R12" s="2" t="s">
        <v>65</v>
      </c>
      <c r="S12" s="2" t="s">
        <v>76</v>
      </c>
    </row>
    <row r="13" spans="1:19" ht="78" customHeight="1" x14ac:dyDescent="0.3">
      <c r="A13" s="2" t="s">
        <v>127</v>
      </c>
      <c r="B13" s="2" t="s">
        <v>123</v>
      </c>
      <c r="C13" s="2" t="s">
        <v>128</v>
      </c>
      <c r="D13" s="2" t="s">
        <v>54</v>
      </c>
      <c r="E13" s="2" t="s">
        <v>69</v>
      </c>
      <c r="F13" s="2" t="s">
        <v>56</v>
      </c>
      <c r="G13" s="2" t="s">
        <v>61</v>
      </c>
      <c r="H13" s="2" t="s">
        <v>61</v>
      </c>
      <c r="I13" s="2" t="s">
        <v>58</v>
      </c>
      <c r="J13" s="4" t="s">
        <v>8</v>
      </c>
      <c r="K13" s="2" t="s">
        <v>59</v>
      </c>
      <c r="L13" s="2" t="s">
        <v>60</v>
      </c>
      <c r="M13" s="2" t="s">
        <v>61</v>
      </c>
      <c r="N13" s="2" t="s">
        <v>129</v>
      </c>
      <c r="O13" s="2" t="s">
        <v>130</v>
      </c>
      <c r="P13" s="2" t="s">
        <v>58</v>
      </c>
      <c r="Q13" s="2" t="s">
        <v>64</v>
      </c>
      <c r="R13" s="2" t="s">
        <v>65</v>
      </c>
      <c r="S13" s="5" t="s">
        <v>66</v>
      </c>
    </row>
    <row r="14" spans="1:19" ht="78" customHeight="1" x14ac:dyDescent="0.3">
      <c r="A14" s="2" t="s">
        <v>131</v>
      </c>
      <c r="B14" s="2" t="s">
        <v>123</v>
      </c>
      <c r="C14" s="2" t="s">
        <v>132</v>
      </c>
      <c r="D14" s="2" t="s">
        <v>54</v>
      </c>
      <c r="E14" s="2" t="s">
        <v>69</v>
      </c>
      <c r="F14" s="2" t="s">
        <v>56</v>
      </c>
      <c r="G14" s="2" t="s">
        <v>61</v>
      </c>
      <c r="H14" s="2" t="s">
        <v>61</v>
      </c>
      <c r="I14" s="2" t="s">
        <v>58</v>
      </c>
      <c r="J14" s="4" t="s">
        <v>8</v>
      </c>
      <c r="K14" s="2" t="s">
        <v>59</v>
      </c>
      <c r="L14" s="2" t="s">
        <v>60</v>
      </c>
      <c r="M14" s="2" t="s">
        <v>61</v>
      </c>
      <c r="N14" s="2" t="s">
        <v>129</v>
      </c>
      <c r="O14" s="2" t="s">
        <v>130</v>
      </c>
      <c r="P14" s="2" t="s">
        <v>58</v>
      </c>
      <c r="Q14" s="2" t="s">
        <v>64</v>
      </c>
      <c r="R14" s="2" t="s">
        <v>65</v>
      </c>
      <c r="S14" s="5" t="s">
        <v>66</v>
      </c>
    </row>
    <row r="15" spans="1:19" ht="78" customHeight="1" x14ac:dyDescent="0.3">
      <c r="A15" s="2" t="s">
        <v>133</v>
      </c>
      <c r="B15" s="2" t="s">
        <v>123</v>
      </c>
      <c r="C15" s="2" t="s">
        <v>134</v>
      </c>
      <c r="D15" s="2" t="s">
        <v>54</v>
      </c>
      <c r="E15" s="2" t="s">
        <v>69</v>
      </c>
      <c r="F15" s="2" t="s">
        <v>56</v>
      </c>
      <c r="G15" s="2" t="s">
        <v>61</v>
      </c>
      <c r="H15" s="2" t="s">
        <v>61</v>
      </c>
      <c r="I15" s="2" t="s">
        <v>58</v>
      </c>
      <c r="J15" s="4" t="s">
        <v>8</v>
      </c>
      <c r="K15" s="2" t="s">
        <v>59</v>
      </c>
      <c r="L15" s="2" t="s">
        <v>60</v>
      </c>
      <c r="M15" s="2" t="s">
        <v>61</v>
      </c>
      <c r="N15" s="2" t="s">
        <v>129</v>
      </c>
      <c r="O15" s="2" t="s">
        <v>130</v>
      </c>
      <c r="P15" s="2" t="s">
        <v>58</v>
      </c>
      <c r="Q15" s="2" t="s">
        <v>64</v>
      </c>
      <c r="R15" s="2" t="s">
        <v>65</v>
      </c>
      <c r="S15" s="5" t="s">
        <v>66</v>
      </c>
    </row>
    <row r="16" spans="1:19" ht="78" customHeight="1" x14ac:dyDescent="0.3">
      <c r="A16" s="2" t="s">
        <v>135</v>
      </c>
      <c r="B16" s="2" t="s">
        <v>123</v>
      </c>
      <c r="C16" s="2" t="s">
        <v>136</v>
      </c>
      <c r="D16" s="2" t="s">
        <v>54</v>
      </c>
      <c r="E16" s="2" t="s">
        <v>80</v>
      </c>
      <c r="F16" s="2" t="s">
        <v>56</v>
      </c>
      <c r="G16" s="2" t="s">
        <v>61</v>
      </c>
      <c r="H16" s="2" t="s">
        <v>61</v>
      </c>
      <c r="I16" s="2" t="s">
        <v>58</v>
      </c>
      <c r="J16" s="4" t="s">
        <v>8</v>
      </c>
      <c r="K16" s="2" t="s">
        <v>59</v>
      </c>
      <c r="L16" s="2" t="s">
        <v>60</v>
      </c>
      <c r="M16" s="2" t="s">
        <v>61</v>
      </c>
      <c r="N16" s="2" t="s">
        <v>137</v>
      </c>
      <c r="O16" s="2" t="s">
        <v>138</v>
      </c>
      <c r="P16" s="2" t="s">
        <v>58</v>
      </c>
      <c r="Q16" s="2" t="s">
        <v>64</v>
      </c>
      <c r="R16" s="2" t="s">
        <v>65</v>
      </c>
      <c r="S16" s="5" t="s">
        <v>66</v>
      </c>
    </row>
    <row r="17" spans="1:19" ht="78" customHeight="1" x14ac:dyDescent="0.3">
      <c r="A17" s="2" t="s">
        <v>139</v>
      </c>
      <c r="B17" s="2" t="s">
        <v>123</v>
      </c>
      <c r="C17" s="2" t="s">
        <v>140</v>
      </c>
      <c r="D17" s="2" t="s">
        <v>54</v>
      </c>
      <c r="E17" s="2" t="s">
        <v>95</v>
      </c>
      <c r="F17" s="2" t="s">
        <v>56</v>
      </c>
      <c r="G17" s="2" t="s">
        <v>57</v>
      </c>
      <c r="H17" s="2" t="s">
        <v>61</v>
      </c>
      <c r="I17" s="2" t="s">
        <v>58</v>
      </c>
      <c r="J17" s="4" t="s">
        <v>8</v>
      </c>
      <c r="K17" s="2" t="s">
        <v>59</v>
      </c>
      <c r="L17" s="2" t="s">
        <v>60</v>
      </c>
      <c r="M17" s="2" t="s">
        <v>61</v>
      </c>
      <c r="N17" s="2" t="s">
        <v>141</v>
      </c>
      <c r="O17" s="2" t="s">
        <v>142</v>
      </c>
      <c r="P17" s="2" t="s">
        <v>58</v>
      </c>
      <c r="Q17" s="2" t="s">
        <v>64</v>
      </c>
      <c r="R17" s="2" t="s">
        <v>65</v>
      </c>
      <c r="S17" s="5" t="s">
        <v>66</v>
      </c>
    </row>
    <row r="18" spans="1:19" ht="78" customHeight="1" x14ac:dyDescent="0.3">
      <c r="A18" s="2" t="s">
        <v>143</v>
      </c>
      <c r="B18" s="2" t="s">
        <v>123</v>
      </c>
      <c r="C18" s="2" t="s">
        <v>144</v>
      </c>
      <c r="D18" s="2" t="s">
        <v>145</v>
      </c>
      <c r="E18" s="2" t="s">
        <v>146</v>
      </c>
      <c r="F18" s="2" t="s">
        <v>56</v>
      </c>
      <c r="G18" s="2" t="s">
        <v>147</v>
      </c>
      <c r="H18" s="2" t="s">
        <v>61</v>
      </c>
      <c r="I18" s="2" t="s">
        <v>58</v>
      </c>
      <c r="J18" s="4" t="s">
        <v>8</v>
      </c>
      <c r="K18" s="2" t="s">
        <v>59</v>
      </c>
      <c r="L18" s="2" t="s">
        <v>60</v>
      </c>
      <c r="M18" s="2" t="s">
        <v>61</v>
      </c>
      <c r="N18" s="2" t="s">
        <v>148</v>
      </c>
      <c r="O18" s="2" t="s">
        <v>149</v>
      </c>
      <c r="P18" s="2" t="s">
        <v>58</v>
      </c>
      <c r="Q18" s="2" t="s">
        <v>64</v>
      </c>
      <c r="R18" s="2" t="s">
        <v>65</v>
      </c>
      <c r="S18" s="5" t="s">
        <v>66</v>
      </c>
    </row>
    <row r="19" spans="1:19" ht="78" customHeight="1" x14ac:dyDescent="0.3">
      <c r="A19" s="2" t="s">
        <v>150</v>
      </c>
      <c r="B19" s="2" t="s">
        <v>123</v>
      </c>
      <c r="C19" s="2" t="s">
        <v>151</v>
      </c>
      <c r="D19" s="2" t="s">
        <v>54</v>
      </c>
      <c r="E19" s="2" t="s">
        <v>69</v>
      </c>
      <c r="F19" s="2" t="s">
        <v>56</v>
      </c>
      <c r="G19" s="2" t="s">
        <v>61</v>
      </c>
      <c r="H19" s="2" t="s">
        <v>61</v>
      </c>
      <c r="I19" s="2" t="s">
        <v>58</v>
      </c>
      <c r="J19" s="6" t="s">
        <v>26</v>
      </c>
      <c r="K19" s="2" t="s">
        <v>70</v>
      </c>
      <c r="L19" s="2" t="s">
        <v>71</v>
      </c>
      <c r="M19" s="2" t="s">
        <v>72</v>
      </c>
      <c r="N19" s="2" t="s">
        <v>152</v>
      </c>
      <c r="O19" s="2" t="s">
        <v>153</v>
      </c>
      <c r="P19" s="2" t="s">
        <v>58</v>
      </c>
      <c r="Q19" s="2" t="s">
        <v>75</v>
      </c>
      <c r="R19" s="2" t="s">
        <v>65</v>
      </c>
      <c r="S19" s="2" t="s">
        <v>76</v>
      </c>
    </row>
    <row r="20" spans="1:19" ht="78" customHeight="1" x14ac:dyDescent="0.3">
      <c r="A20" s="2" t="s">
        <v>154</v>
      </c>
      <c r="B20" s="2" t="s">
        <v>155</v>
      </c>
      <c r="C20" s="2" t="s">
        <v>156</v>
      </c>
      <c r="D20" s="2" t="s">
        <v>54</v>
      </c>
      <c r="E20" s="2" t="s">
        <v>55</v>
      </c>
      <c r="F20" s="2" t="s">
        <v>56</v>
      </c>
      <c r="G20" s="2" t="s">
        <v>57</v>
      </c>
      <c r="H20" s="2" t="s">
        <v>57</v>
      </c>
      <c r="I20" s="2" t="s">
        <v>58</v>
      </c>
      <c r="J20" s="6" t="s">
        <v>26</v>
      </c>
      <c r="K20" s="2" t="s">
        <v>70</v>
      </c>
      <c r="L20" s="2" t="s">
        <v>71</v>
      </c>
      <c r="M20" s="2" t="s">
        <v>72</v>
      </c>
      <c r="N20" s="2" t="s">
        <v>157</v>
      </c>
      <c r="O20" s="2" t="s">
        <v>158</v>
      </c>
      <c r="P20" s="2" t="s">
        <v>58</v>
      </c>
      <c r="Q20" s="2" t="s">
        <v>75</v>
      </c>
      <c r="R20" s="2" t="s">
        <v>65</v>
      </c>
      <c r="S20" s="2" t="s">
        <v>76</v>
      </c>
    </row>
    <row r="21" spans="1:19" ht="78" customHeight="1" x14ac:dyDescent="0.3">
      <c r="A21" s="2" t="s">
        <v>159</v>
      </c>
      <c r="B21" s="2" t="s">
        <v>155</v>
      </c>
      <c r="C21" s="2" t="s">
        <v>160</v>
      </c>
      <c r="D21" s="2" t="s">
        <v>161</v>
      </c>
      <c r="E21" s="2" t="s">
        <v>162</v>
      </c>
      <c r="F21" s="2" t="s">
        <v>56</v>
      </c>
      <c r="G21" s="2" t="s">
        <v>72</v>
      </c>
      <c r="H21" s="2" t="s">
        <v>57</v>
      </c>
      <c r="I21" s="2" t="s">
        <v>58</v>
      </c>
      <c r="J21" s="6" t="s">
        <v>26</v>
      </c>
      <c r="K21" s="2" t="s">
        <v>70</v>
      </c>
      <c r="L21" s="2" t="s">
        <v>71</v>
      </c>
      <c r="M21" s="2" t="s">
        <v>72</v>
      </c>
      <c r="N21" s="2" t="s">
        <v>163</v>
      </c>
      <c r="O21" s="2" t="s">
        <v>164</v>
      </c>
      <c r="P21" s="2" t="s">
        <v>58</v>
      </c>
      <c r="Q21" s="2" t="s">
        <v>75</v>
      </c>
      <c r="R21" s="2" t="s">
        <v>65</v>
      </c>
      <c r="S21" s="2" t="s">
        <v>76</v>
      </c>
    </row>
    <row r="22" spans="1:19" ht="78" customHeight="1" x14ac:dyDescent="0.3">
      <c r="A22" s="2" t="s">
        <v>165</v>
      </c>
      <c r="B22" s="2" t="s">
        <v>155</v>
      </c>
      <c r="C22" s="2" t="s">
        <v>166</v>
      </c>
      <c r="D22" s="2" t="s">
        <v>54</v>
      </c>
      <c r="E22" s="2" t="s">
        <v>167</v>
      </c>
      <c r="F22" s="2" t="s">
        <v>56</v>
      </c>
      <c r="G22" s="2" t="s">
        <v>72</v>
      </c>
      <c r="H22" s="2" t="s">
        <v>57</v>
      </c>
      <c r="I22" s="2" t="s">
        <v>58</v>
      </c>
      <c r="J22" s="6" t="s">
        <v>26</v>
      </c>
      <c r="K22" s="2" t="s">
        <v>70</v>
      </c>
      <c r="L22" s="2" t="s">
        <v>71</v>
      </c>
      <c r="M22" s="2" t="s">
        <v>72</v>
      </c>
      <c r="N22" s="2" t="s">
        <v>168</v>
      </c>
      <c r="O22" s="2" t="s">
        <v>169</v>
      </c>
      <c r="P22" s="2" t="s">
        <v>58</v>
      </c>
      <c r="Q22" s="2" t="s">
        <v>75</v>
      </c>
      <c r="R22" s="2" t="s">
        <v>65</v>
      </c>
      <c r="S22" s="2" t="s">
        <v>76</v>
      </c>
    </row>
  </sheetData>
  <autoFilter ref="A1:S22" xr:uid="{00000000-0009-0000-0000-000001000000}"/>
  <hyperlinks>
    <hyperlink ref="S2" r:id="rId1" xr:uid="{00000000-0004-0000-0100-000000000000}"/>
    <hyperlink ref="S7" r:id="rId2" xr:uid="{00000000-0004-0000-0100-000001000000}"/>
    <hyperlink ref="S9" r:id="rId3" xr:uid="{00000000-0004-0000-0100-000002000000}"/>
    <hyperlink ref="S13" r:id="rId4" xr:uid="{00000000-0004-0000-0100-000003000000}"/>
    <hyperlink ref="S14" r:id="rId5" xr:uid="{00000000-0004-0000-0100-000004000000}"/>
    <hyperlink ref="S15" r:id="rId6" xr:uid="{00000000-0004-0000-0100-000005000000}"/>
    <hyperlink ref="S16" r:id="rId7" xr:uid="{00000000-0004-0000-0100-000006000000}"/>
    <hyperlink ref="S17" r:id="rId8" xr:uid="{00000000-0004-0000-0100-000007000000}"/>
    <hyperlink ref="S18" r:id="rId9" xr:uid="{00000000-0004-0000-0100-000008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showGridLines="0" workbookViewId="0">
      <pane ySplit="1" topLeftCell="A2" activePane="bottomLeft" state="frozen"/>
      <selection pane="bottomLeft" activeCell="C1" sqref="C1"/>
    </sheetView>
  </sheetViews>
  <sheetFormatPr defaultRowHeight="14.4" x14ac:dyDescent="0.3"/>
  <cols>
    <col min="1" max="1" width="36.6640625" customWidth="1"/>
    <col min="2" max="3" width="72.6640625" customWidth="1"/>
  </cols>
  <sheetData>
    <row r="1" spans="1:3" x14ac:dyDescent="0.3">
      <c r="A1" s="1" t="s">
        <v>3</v>
      </c>
      <c r="B1" s="1" t="s">
        <v>170</v>
      </c>
      <c r="C1" s="1" t="s">
        <v>171</v>
      </c>
    </row>
    <row r="2" spans="1:3" ht="54.9" customHeight="1" x14ac:dyDescent="0.3">
      <c r="A2" s="2" t="s">
        <v>8</v>
      </c>
      <c r="B2" s="2" t="s">
        <v>172</v>
      </c>
      <c r="C2" s="2" t="s">
        <v>173</v>
      </c>
    </row>
    <row r="3" spans="1:3" ht="54.9" customHeight="1" x14ac:dyDescent="0.3">
      <c r="A3" s="2" t="s">
        <v>11</v>
      </c>
      <c r="B3" s="2" t="s">
        <v>174</v>
      </c>
      <c r="C3" s="2" t="s">
        <v>175</v>
      </c>
    </row>
    <row r="4" spans="1:3" ht="54.9" customHeight="1" x14ac:dyDescent="0.3">
      <c r="A4" s="2" t="s">
        <v>14</v>
      </c>
      <c r="B4" s="2" t="s">
        <v>176</v>
      </c>
      <c r="C4" s="2" t="s">
        <v>177</v>
      </c>
    </row>
    <row r="5" spans="1:3" ht="54.9" customHeight="1" x14ac:dyDescent="0.3">
      <c r="A5" s="2" t="s">
        <v>17</v>
      </c>
      <c r="B5" s="2" t="s">
        <v>178</v>
      </c>
      <c r="C5" s="2" t="s">
        <v>179</v>
      </c>
    </row>
    <row r="6" spans="1:3" ht="54.9" customHeight="1" x14ac:dyDescent="0.3">
      <c r="A6" s="2" t="s">
        <v>20</v>
      </c>
      <c r="B6" s="2" t="s">
        <v>180</v>
      </c>
      <c r="C6" s="2" t="s">
        <v>181</v>
      </c>
    </row>
    <row r="7" spans="1:3" ht="54.9" customHeight="1" x14ac:dyDescent="0.3">
      <c r="A7" s="2" t="s">
        <v>23</v>
      </c>
      <c r="B7" s="2" t="s">
        <v>182</v>
      </c>
      <c r="C7" s="2" t="s">
        <v>183</v>
      </c>
    </row>
    <row r="8" spans="1:3" ht="54.9" customHeight="1" x14ac:dyDescent="0.3">
      <c r="A8" s="2" t="s">
        <v>26</v>
      </c>
      <c r="B8" s="2" t="s">
        <v>184</v>
      </c>
      <c r="C8" s="2" t="s">
        <v>185</v>
      </c>
    </row>
  </sheetData>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 Summary</vt:lpstr>
      <vt:lpstr>Detailed Analysis</vt:lpstr>
      <vt:lpstr>Classification Guide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Singh Sisodiya, Nagendra</dc:creator>
  <cp:keywords/>
  <dc:description/>
  <cp:lastModifiedBy>Singh Sisodiya, Nagendra</cp:lastModifiedBy>
  <cp:revision/>
  <dcterms:created xsi:type="dcterms:W3CDTF">2026-09-02T09:44:01Z</dcterms:created>
  <dcterms:modified xsi:type="dcterms:W3CDTF">2026-09-02T09:45:27Z</dcterms:modified>
  <cp:category/>
  <cp:contentStatus/>
</cp:coreProperties>
</file>